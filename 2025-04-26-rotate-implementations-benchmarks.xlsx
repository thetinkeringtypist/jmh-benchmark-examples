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zer\IdeaProjects\jmh-benchmark-examples\"/>
    </mc:Choice>
  </mc:AlternateContent>
  <xr:revisionPtr revIDLastSave="0" documentId="13_ncr:9_{1E77B3A6-E1C2-48A3-939E-D053F4502174}" xr6:coauthVersionLast="47" xr6:coauthVersionMax="47" xr10:uidLastSave="{00000000-0000-0000-0000-000000000000}"/>
  <bookViews>
    <workbookView xWindow="-110" yWindow="-110" windowWidth="38620" windowHeight="21100" xr2:uid="{667BA435-015C-4036-97EB-EF537ACAF0D2}"/>
  </bookViews>
  <sheets>
    <sheet name="Rotation Benchmark Measurements" sheetId="1" r:id="rId1"/>
  </sheets>
  <calcPr calcId="0"/>
</workbook>
</file>

<file path=xl/calcChain.xml><?xml version="1.0" encoding="utf-8"?>
<calcChain xmlns="http://schemas.openxmlformats.org/spreadsheetml/2006/main">
  <c r="D26" i="1" l="1"/>
  <c r="C26" i="1"/>
  <c r="D29" i="1"/>
  <c r="E29" i="1"/>
  <c r="F29" i="1"/>
  <c r="G29" i="1"/>
  <c r="H29" i="1"/>
  <c r="I29" i="1"/>
  <c r="C29" i="1"/>
  <c r="D28" i="1"/>
  <c r="E28" i="1"/>
  <c r="F28" i="1"/>
  <c r="G28" i="1"/>
  <c r="H28" i="1"/>
  <c r="I28" i="1"/>
  <c r="C28" i="1"/>
  <c r="D27" i="1"/>
  <c r="E27" i="1"/>
  <c r="F27" i="1"/>
  <c r="G27" i="1"/>
  <c r="H27" i="1"/>
  <c r="I27" i="1"/>
  <c r="C27" i="1"/>
  <c r="I26" i="1"/>
  <c r="E26" i="1"/>
  <c r="F26" i="1"/>
  <c r="G26" i="1"/>
  <c r="H26" i="1"/>
  <c r="D41" i="1"/>
  <c r="E41" i="1"/>
  <c r="F41" i="1"/>
  <c r="G41" i="1"/>
  <c r="H41" i="1"/>
  <c r="I41" i="1"/>
  <c r="D40" i="1"/>
  <c r="E40" i="1"/>
  <c r="F40" i="1"/>
  <c r="G40" i="1"/>
  <c r="H40" i="1"/>
  <c r="I40" i="1"/>
  <c r="D39" i="1"/>
  <c r="E39" i="1"/>
  <c r="F39" i="1"/>
  <c r="G39" i="1"/>
  <c r="H39" i="1"/>
  <c r="I39" i="1"/>
  <c r="D38" i="1"/>
  <c r="E38" i="1"/>
  <c r="F38" i="1"/>
  <c r="G38" i="1"/>
  <c r="H38" i="1"/>
  <c r="I38" i="1"/>
  <c r="D37" i="1"/>
  <c r="E37" i="1"/>
  <c r="F37" i="1"/>
  <c r="G37" i="1"/>
  <c r="H37" i="1"/>
  <c r="I37" i="1"/>
  <c r="D36" i="1"/>
  <c r="E36" i="1"/>
  <c r="F36" i="1"/>
  <c r="G36" i="1"/>
  <c r="H36" i="1"/>
  <c r="I36" i="1"/>
  <c r="D35" i="1"/>
  <c r="E35" i="1"/>
  <c r="F35" i="1"/>
  <c r="G35" i="1"/>
  <c r="H35" i="1"/>
  <c r="I35" i="1"/>
  <c r="D34" i="1"/>
  <c r="E34" i="1"/>
  <c r="F34" i="1"/>
  <c r="G34" i="1"/>
  <c r="H34" i="1"/>
  <c r="I34" i="1"/>
  <c r="D33" i="1"/>
  <c r="E33" i="1"/>
  <c r="F33" i="1"/>
  <c r="G33" i="1"/>
  <c r="H33" i="1"/>
  <c r="I33" i="1"/>
  <c r="C35" i="1"/>
  <c r="C34" i="1"/>
  <c r="C33" i="1"/>
  <c r="C36" i="1"/>
  <c r="C37" i="1"/>
  <c r="C38" i="1"/>
  <c r="C39" i="1"/>
  <c r="C40" i="1"/>
  <c r="C41" i="1"/>
  <c r="D32" i="1"/>
  <c r="E32" i="1"/>
  <c r="F32" i="1"/>
  <c r="G32" i="1"/>
  <c r="H32" i="1"/>
  <c r="I32" i="1"/>
  <c r="C32" i="1"/>
</calcChain>
</file>

<file path=xl/sharedStrings.xml><?xml version="1.0" encoding="utf-8"?>
<sst xmlns="http://schemas.openxmlformats.org/spreadsheetml/2006/main" count="93" uniqueCount="30">
  <si>
    <t>Benchmark</t>
  </si>
  <si>
    <t>byte[][]</t>
  </si>
  <si>
    <t>TLP</t>
  </si>
  <si>
    <t>BLP</t>
  </si>
  <si>
    <t>TL</t>
  </si>
  <si>
    <t>BL</t>
  </si>
  <si>
    <t>TF</t>
  </si>
  <si>
    <t>BF</t>
  </si>
  <si>
    <t>TR</t>
  </si>
  <si>
    <t>BR</t>
  </si>
  <si>
    <t>TRP</t>
  </si>
  <si>
    <t>BRP</t>
  </si>
  <si>
    <t>char[][]</t>
  </si>
  <si>
    <t>short[][]</t>
  </si>
  <si>
    <t>int[][]</t>
  </si>
  <si>
    <t>long[][]</t>
  </si>
  <si>
    <t>float[][]</t>
  </si>
  <si>
    <t>double[][]</t>
  </si>
  <si>
    <t>rotate</t>
  </si>
  <si>
    <t>Slice</t>
  </si>
  <si>
    <t>Notes</t>
  </si>
  <si>
    <t>Contiguous</t>
  </si>
  <si>
    <t>Edge Case</t>
  </si>
  <si>
    <t>rotateUnrolled</t>
  </si>
  <si>
    <t>Measured Improvements
Between rotate and rotateUnrolled</t>
  </si>
  <si>
    <t>Averages of the Table Above for Easier Analysis (ns/op)</t>
  </si>
  <si>
    <r>
      <t xml:space="preserve"> </t>
    </r>
    <r>
      <rPr>
        <sz val="14"/>
        <color theme="1"/>
        <rFont val="JetBrains Mono"/>
        <family val="3"/>
      </rPr>
      <t>1</t>
    </r>
    <r>
      <rPr>
        <sz val="14"/>
        <color theme="1"/>
        <rFont val="JetBrains Mono"/>
        <family val="2"/>
      </rPr>
      <t xml:space="preserve">. Rotations on all slices show improvement, which was
    the </t>
    </r>
    <r>
      <rPr>
        <b/>
        <sz val="14"/>
        <color theme="1"/>
        <rFont val="JetBrains Mono"/>
        <family val="3"/>
      </rPr>
      <t>primary goal</t>
    </r>
    <r>
      <rPr>
        <sz val="14"/>
        <color theme="1"/>
        <rFont val="JetBrains Mono"/>
        <family val="2"/>
      </rPr>
      <t xml:space="preserve">.
 2. Edge case slices (TRP &amp; BRP), show the greatest 
    improvement, which was the </t>
    </r>
    <r>
      <rPr>
        <b/>
        <sz val="14"/>
        <color theme="1"/>
        <rFont val="JetBrains Mono"/>
        <family val="3"/>
      </rPr>
      <t>secondary goal</t>
    </r>
    <r>
      <rPr>
        <sz val="14"/>
        <color theme="1"/>
        <rFont val="JetBrains Mono"/>
        <family val="2"/>
      </rPr>
      <t xml:space="preserve">.
 3. </t>
    </r>
    <r>
      <rPr>
        <b/>
        <sz val="14"/>
        <color theme="1"/>
        <rFont val="JetBrains Mono"/>
        <family val="3"/>
      </rPr>
      <t>byte[][]</t>
    </r>
    <r>
      <rPr>
        <sz val="14"/>
        <color theme="1"/>
        <rFont val="JetBrains Mono"/>
        <family val="2"/>
      </rPr>
      <t xml:space="preserve"> shows the greatest and most consistent 
    improvement across all slices.
 4. </t>
    </r>
    <r>
      <rPr>
        <b/>
        <sz val="14"/>
        <color theme="1"/>
        <rFont val="JetBrains Mono"/>
        <family val="3"/>
      </rPr>
      <t>int[][]</t>
    </r>
    <r>
      <rPr>
        <sz val="14"/>
        <color theme="1"/>
        <rFont val="JetBrains Mono"/>
        <family val="2"/>
      </rPr>
      <t xml:space="preserve"> shows the smallest improvements across
    contiguous slices.</t>
    </r>
  </si>
  <si>
    <r>
      <t xml:space="preserve">Benchmarks were run using the following
specifications:
 1. </t>
    </r>
    <r>
      <rPr>
        <b/>
        <sz val="14"/>
        <color theme="1"/>
        <rFont val="JetBrains Mono"/>
        <family val="3"/>
      </rPr>
      <t>CPU/RAM:</t>
    </r>
    <r>
      <rPr>
        <sz val="14"/>
        <color theme="1"/>
        <rFont val="JetBrains Mono"/>
        <family val="2"/>
      </rPr>
      <t xml:space="preserve"> AMD Ryzen 5950X, 64 GB 3200 MHz RAM
 2. </t>
    </r>
    <r>
      <rPr>
        <b/>
        <sz val="14"/>
        <color theme="1"/>
        <rFont val="JetBrains Mono"/>
        <family val="3"/>
      </rPr>
      <t>OS:</t>
    </r>
    <r>
      <rPr>
        <sz val="14"/>
        <color theme="1"/>
        <rFont val="JetBrains Mono"/>
        <family val="2"/>
      </rPr>
      <t xml:space="preserve"> Windows 11 Pro, 64-Bit
 3. </t>
    </r>
    <r>
      <rPr>
        <b/>
        <sz val="14"/>
        <color theme="1"/>
        <rFont val="JetBrains Mono"/>
        <family val="3"/>
      </rPr>
      <t>JVM version:</t>
    </r>
    <r>
      <rPr>
        <sz val="14"/>
        <color theme="1"/>
        <rFont val="JetBrains Mono"/>
        <family val="2"/>
      </rPr>
      <t xml:space="preserve"> JDK 21.0.1, OpenJDK 64-Bit Server 
    VM,21.0.1+12-29, default JVM options.
 4. </t>
    </r>
    <r>
      <rPr>
        <b/>
        <sz val="14"/>
        <color theme="1"/>
        <rFont val="JetBrains Mono"/>
        <family val="3"/>
      </rPr>
      <t>JMH Version:</t>
    </r>
    <r>
      <rPr>
        <sz val="14"/>
        <color theme="1"/>
        <rFont val="JetBrains Mono"/>
        <family val="2"/>
      </rPr>
      <t xml:space="preserve"> 1.37
 5. </t>
    </r>
    <r>
      <rPr>
        <b/>
        <sz val="14"/>
        <color theme="1"/>
        <rFont val="JetBrains Mono"/>
        <family val="3"/>
      </rPr>
      <t>Warmup:</t>
    </r>
    <r>
      <rPr>
        <sz val="14"/>
        <color theme="1"/>
        <rFont val="JetBrains Mono"/>
        <family val="2"/>
      </rPr>
      <t xml:space="preserve">      10 iterations, 5s each.
 6. </t>
    </r>
    <r>
      <rPr>
        <b/>
        <sz val="14"/>
        <color theme="1"/>
        <rFont val="JetBrains Mono"/>
        <family val="3"/>
      </rPr>
      <t>Measurement:</t>
    </r>
    <r>
      <rPr>
        <sz val="14"/>
        <color theme="1"/>
        <rFont val="JetBrains Mono"/>
        <family val="2"/>
      </rPr>
      <t xml:space="preserve"> 25 iterations, 5s each.
 7. </t>
    </r>
    <r>
      <rPr>
        <b/>
        <sz val="14"/>
        <color theme="1"/>
        <rFont val="JetBrains Mono"/>
        <family val="3"/>
      </rPr>
      <t>Threads:</t>
    </r>
    <r>
      <rPr>
        <sz val="14"/>
        <color theme="1"/>
        <rFont val="JetBrains Mono"/>
        <family val="2"/>
      </rPr>
      <t xml:space="preserve">     1
 8. </t>
    </r>
    <r>
      <rPr>
        <b/>
        <sz val="14"/>
        <color theme="1"/>
        <rFont val="JetBrains Mono"/>
        <family val="3"/>
      </rPr>
      <t>Benchmark Mode:</t>
    </r>
    <r>
      <rPr>
        <sz val="14"/>
        <color theme="1"/>
        <rFont val="JetBrains Mono"/>
        <family val="2"/>
      </rPr>
      <t xml:space="preserve"> Average Time
 9. </t>
    </r>
    <r>
      <rPr>
        <b/>
        <sz val="14"/>
        <color theme="1"/>
        <rFont val="JetBrains Mono"/>
        <family val="3"/>
      </rPr>
      <t>Total Elapsed Time:</t>
    </r>
    <r>
      <rPr>
        <sz val="14"/>
        <color theme="1"/>
        <rFont val="JetBrains Mono"/>
        <family val="2"/>
      </rPr>
      <t xml:space="preserve"> 6h 50m 00s
10. Benchmarks ran overnight with no other userspace
    applications running.
</t>
    </r>
    <r>
      <rPr>
        <b/>
        <sz val="14"/>
        <color theme="1"/>
        <rFont val="JetBrains Mono"/>
        <family val="3"/>
      </rPr>
      <t xml:space="preserve">
rotate</t>
    </r>
    <r>
      <rPr>
        <sz val="14"/>
        <color theme="1"/>
        <rFont val="JetBrains Mono"/>
        <family val="2"/>
      </rPr>
      <t xml:space="preserve"> uses nested loops and branching. </t>
    </r>
    <r>
      <rPr>
        <b/>
        <sz val="14"/>
        <color theme="1"/>
        <rFont val="JetBrains Mono"/>
        <family val="3"/>
      </rPr>
      <t>rotateUnrolled</t>
    </r>
    <r>
      <rPr>
        <sz val="14"/>
        <color theme="1"/>
        <rFont val="JetBrains Mono"/>
        <family val="2"/>
      </rPr>
      <t xml:space="preserve">, uses no loops and exactly </t>
    </r>
    <r>
      <rPr>
        <b/>
        <sz val="14"/>
        <color theme="1"/>
        <rFont val="JetBrains Mono"/>
        <family val="3"/>
      </rPr>
      <t>one</t>
    </r>
    <r>
      <rPr>
        <sz val="14"/>
        <color theme="1"/>
        <rFont val="JetBrains Mono"/>
        <family val="2"/>
      </rPr>
      <t xml:space="preserve"> branch. Because of this, contiguous and non-contiguous in </t>
    </r>
    <r>
      <rPr>
        <b/>
        <sz val="14"/>
        <color theme="1"/>
        <rFont val="JetBrains Mono"/>
        <family val="3"/>
      </rPr>
      <t>rotate</t>
    </r>
    <r>
      <rPr>
        <sz val="14"/>
        <color theme="1"/>
        <rFont val="JetBrains Mono"/>
        <family val="2"/>
      </rPr>
      <t xml:space="preserve"> really means branching vs. non-branching in </t>
    </r>
    <r>
      <rPr>
        <b/>
        <sz val="14"/>
        <color theme="1"/>
        <rFont val="JetBrains Mono"/>
        <family val="3"/>
      </rPr>
      <t>rotateUnrolled</t>
    </r>
    <r>
      <rPr>
        <sz val="14"/>
        <color theme="1"/>
        <rFont val="JetBrains Mono"/>
        <family val="2"/>
      </rPr>
      <t xml:space="preserve">.
</t>
    </r>
  </si>
  <si>
    <r>
      <rPr>
        <b/>
        <sz val="14"/>
        <color theme="1"/>
        <rFont val="JetBrains Mono"/>
        <family val="3"/>
      </rPr>
      <t>Contiguous Slices:</t>
    </r>
    <r>
      <rPr>
        <sz val="14"/>
        <color theme="1"/>
        <rFont val="JetBrains Mono"/>
        <family val="2"/>
      </rPr>
      <t xml:space="preserve"> TLP, BLP, TL, BL, TF, BF, TR, BR
</t>
    </r>
    <r>
      <rPr>
        <b/>
        <sz val="14"/>
        <color theme="1"/>
        <rFont val="JetBrains Mono"/>
        <family val="3"/>
      </rPr>
      <t>Edge Case Slices:</t>
    </r>
    <r>
      <rPr>
        <sz val="14"/>
        <color theme="1"/>
        <rFont val="JetBrains Mono"/>
        <family val="2"/>
      </rPr>
      <t xml:space="preserve">  TRP, BRP
</t>
    </r>
    <r>
      <rPr>
        <b/>
        <sz val="14"/>
        <color theme="1"/>
        <rFont val="JetBrains Mono"/>
        <family val="3"/>
      </rPr>
      <t>Lowest average (ie. fastest) data type:</t>
    </r>
    <r>
      <rPr>
        <sz val="14"/>
        <color theme="1"/>
        <rFont val="JetBrains Mono"/>
        <family val="2"/>
      </rPr>
      <t xml:space="preserve"> float[][]</t>
    </r>
  </si>
  <si>
    <t>Average Time Measured in Nanoseconds per Operation (ns/op)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</si>
</sst>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4"/>
      <color theme="1"/>
      <name val="JetBrains Mono"/>
      <family val="2"/>
    </font>
    <font>
      <sz val="14"/>
      <color theme="1"/>
      <name val="JetBrains Mono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JetBrains Mono"/>
      <family val="2"/>
    </font>
    <font>
      <b/>
      <sz val="13"/>
      <color theme="3"/>
      <name val="JetBrains Mono"/>
      <family val="2"/>
    </font>
    <font>
      <b/>
      <sz val="11"/>
      <color theme="3"/>
      <name val="JetBrains Mono"/>
      <family val="2"/>
    </font>
    <font>
      <sz val="14"/>
      <color rgb="FF006100"/>
      <name val="JetBrains Mono"/>
      <family val="2"/>
    </font>
    <font>
      <sz val="14"/>
      <color rgb="FF9C0006"/>
      <name val="JetBrains Mono"/>
      <family val="2"/>
    </font>
    <font>
      <sz val="14"/>
      <color rgb="FF9C5700"/>
      <name val="JetBrains Mono"/>
      <family val="2"/>
    </font>
    <font>
      <sz val="14"/>
      <color rgb="FF3F3F76"/>
      <name val="JetBrains Mono"/>
      <family val="2"/>
    </font>
    <font>
      <b/>
      <sz val="14"/>
      <color rgb="FF3F3F3F"/>
      <name val="JetBrains Mono"/>
      <family val="2"/>
    </font>
    <font>
      <b/>
      <sz val="14"/>
      <color rgb="FFFA7D00"/>
      <name val="JetBrains Mono"/>
      <family val="2"/>
    </font>
    <font>
      <sz val="14"/>
      <color rgb="FFFA7D00"/>
      <name val="JetBrains Mono"/>
      <family val="2"/>
    </font>
    <font>
      <b/>
      <sz val="14"/>
      <color theme="0"/>
      <name val="JetBrains Mono"/>
      <family val="2"/>
    </font>
    <font>
      <sz val="14"/>
      <color rgb="FFFF0000"/>
      <name val="JetBrains Mono"/>
      <family val="2"/>
    </font>
    <font>
      <i/>
      <sz val="14"/>
      <color rgb="FF7F7F7F"/>
      <name val="JetBrains Mono"/>
      <family val="2"/>
    </font>
    <font>
      <b/>
      <sz val="14"/>
      <color theme="1"/>
      <name val="JetBrains Mono"/>
      <family val="2"/>
    </font>
    <font>
      <sz val="14"/>
      <color theme="0"/>
      <name val="JetBrains Mono"/>
      <family val="2"/>
    </font>
    <font>
      <b/>
      <sz val="14"/>
      <color theme="0"/>
      <name val="JetBrains Mono"/>
      <family val="3"/>
    </font>
    <font>
      <b/>
      <sz val="14"/>
      <color theme="1"/>
      <name val="JetBrains Mono"/>
      <family val="3"/>
    </font>
    <font>
      <sz val="14"/>
      <color theme="1"/>
      <name val="JetBrains Mono"/>
      <family val="3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0" fillId="0" borderId="0" xfId="0" applyBorder="1"/>
    <xf numFmtId="0" fontId="0" fillId="0" borderId="11" xfId="0" applyBorder="1"/>
    <xf numFmtId="0" fontId="0" fillId="0" borderId="12" xfId="0" applyBorder="1"/>
    <xf numFmtId="0" fontId="0" fillId="0" borderId="14" xfId="0" applyBorder="1"/>
    <xf numFmtId="0" fontId="0" fillId="0" borderId="16" xfId="0" applyBorder="1"/>
    <xf numFmtId="164" fontId="0" fillId="0" borderId="0" xfId="0" applyNumberFormat="1" applyBorder="1"/>
    <xf numFmtId="9" fontId="0" fillId="0" borderId="0" xfId="1" applyFont="1" applyBorder="1"/>
    <xf numFmtId="0" fontId="0" fillId="0" borderId="0" xfId="0" applyBorder="1" applyAlignment="1">
      <alignment horizontal="center"/>
    </xf>
    <xf numFmtId="0" fontId="0" fillId="33" borderId="0" xfId="0" applyFill="1" applyBorder="1" applyAlignment="1">
      <alignment horizontal="center"/>
    </xf>
    <xf numFmtId="0" fontId="0" fillId="33" borderId="0" xfId="0" applyFill="1" applyBorder="1" applyAlignment="1">
      <alignment horizontal="center" vertical="center"/>
    </xf>
    <xf numFmtId="0" fontId="18" fillId="33" borderId="10" xfId="0" applyFont="1" applyFill="1" applyBorder="1" applyAlignment="1">
      <alignment horizontal="center"/>
    </xf>
    <xf numFmtId="0" fontId="0" fillId="34" borderId="18" xfId="0" applyFill="1" applyBorder="1" applyAlignment="1">
      <alignment horizontal="left" vertical="top" wrapText="1"/>
    </xf>
    <xf numFmtId="0" fontId="0" fillId="34" borderId="20" xfId="0" applyFill="1" applyBorder="1" applyAlignment="1">
      <alignment horizontal="left" vertical="top" wrapText="1"/>
    </xf>
    <xf numFmtId="0" fontId="0" fillId="34" borderId="19" xfId="0" applyFill="1" applyBorder="1" applyAlignment="1">
      <alignment horizontal="left" vertical="top" wrapText="1"/>
    </xf>
    <xf numFmtId="0" fontId="0" fillId="34" borderId="20" xfId="0" applyFill="1" applyBorder="1" applyAlignment="1">
      <alignment horizontal="left" vertical="top"/>
    </xf>
    <xf numFmtId="0" fontId="0" fillId="34" borderId="19" xfId="0" applyFill="1" applyBorder="1" applyAlignment="1">
      <alignment horizontal="left" vertical="top"/>
    </xf>
    <xf numFmtId="164" fontId="0" fillId="0" borderId="12" xfId="0" applyNumberFormat="1" applyBorder="1"/>
    <xf numFmtId="164" fontId="0" fillId="0" borderId="13" xfId="0" applyNumberFormat="1" applyBorder="1"/>
    <xf numFmtId="164" fontId="0" fillId="0" borderId="15" xfId="0" applyNumberFormat="1" applyBorder="1"/>
    <xf numFmtId="164" fontId="0" fillId="0" borderId="16" xfId="0" applyNumberFormat="1" applyBorder="1"/>
    <xf numFmtId="164" fontId="0" fillId="0" borderId="17" xfId="0" applyNumberFormat="1" applyBorder="1"/>
    <xf numFmtId="0" fontId="13" fillId="33" borderId="22" xfId="0" applyFont="1" applyFill="1" applyBorder="1" applyAlignment="1">
      <alignment horizontal="center"/>
    </xf>
    <xf numFmtId="0" fontId="13" fillId="33" borderId="23" xfId="0" applyFont="1" applyFill="1" applyBorder="1" applyAlignment="1">
      <alignment horizontal="center"/>
    </xf>
    <xf numFmtId="0" fontId="19" fillId="0" borderId="18" xfId="0" applyFont="1" applyBorder="1" applyAlignment="1">
      <alignment horizontal="center" vertical="center" textRotation="90" wrapText="1"/>
    </xf>
    <xf numFmtId="0" fontId="19" fillId="0" borderId="20" xfId="0" applyFont="1" applyBorder="1" applyAlignment="1">
      <alignment horizontal="center" vertical="center" textRotation="90" wrapText="1"/>
    </xf>
    <xf numFmtId="0" fontId="19" fillId="0" borderId="19" xfId="0" applyFont="1" applyBorder="1" applyAlignment="1">
      <alignment horizontal="center" vertical="center" textRotation="90" wrapText="1"/>
    </xf>
    <xf numFmtId="0" fontId="0" fillId="33" borderId="21" xfId="0" applyFill="1" applyBorder="1"/>
    <xf numFmtId="0" fontId="0" fillId="33" borderId="22" xfId="0" applyFill="1" applyBorder="1"/>
    <xf numFmtId="0" fontId="18" fillId="33" borderId="22" xfId="0" applyFont="1" applyFill="1" applyBorder="1" applyAlignment="1">
      <alignment horizontal="center" vertical="center"/>
    </xf>
    <xf numFmtId="0" fontId="18" fillId="33" borderId="23" xfId="0" applyFont="1" applyFill="1" applyBorder="1" applyAlignment="1">
      <alignment horizontal="center" vertical="center"/>
    </xf>
    <xf numFmtId="0" fontId="18" fillId="33" borderId="18" xfId="0" applyFont="1" applyFill="1" applyBorder="1" applyAlignment="1">
      <alignment horizontal="center" vertical="center"/>
    </xf>
    <xf numFmtId="0" fontId="18" fillId="33" borderId="19" xfId="0" applyFont="1" applyFill="1" applyBorder="1" applyAlignment="1">
      <alignment horizontal="center" vertical="center"/>
    </xf>
    <xf numFmtId="0" fontId="18" fillId="33" borderId="21" xfId="0" applyFont="1" applyFill="1" applyBorder="1" applyAlignment="1">
      <alignment horizontal="center" vertical="center"/>
    </xf>
    <xf numFmtId="0" fontId="20" fillId="34" borderId="18" xfId="0" applyFont="1" applyFill="1" applyBorder="1" applyAlignment="1">
      <alignment horizontal="left" vertical="top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JetBrains Mono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8" tint="-0.249977111117893"/>
        </patternFill>
      </fill>
      <alignment horizontal="center" vertical="bottom" textRotation="0" wrapText="0" indent="0" justifyLastLine="0" shrinkToFit="0" readingOrder="0"/>
    </dxf>
    <dxf>
      <border>
        <bottom style="medium">
          <color indexed="64"/>
        </bottom>
      </border>
    </dxf>
    <dxf>
      <numFmt numFmtId="164" formatCode="0.00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alignment horizontal="center" vertical="bottom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JetBrains Mon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JetBrains Mon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JetBrains Mon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JetBrains Mon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JetBrains Mon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JetBrains Mon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JetBrains Mono"/>
        <family val="2"/>
        <scheme val="none"/>
      </font>
    </dxf>
    <dxf>
      <alignment horizontal="center" vertical="bottom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JetBrains Mono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441D0B-0196-4DDC-B42F-0BAC2DF99B47}" name="Table1" displayName="Table1" ref="A2:I22" totalsRowShown="0" headerRowDxfId="2" tableBorderDxfId="20">
  <autoFilter ref="A2:I22" xr:uid="{9B441D0B-0196-4DDC-B42F-0BAC2DF99B47}"/>
  <tableColumns count="9">
    <tableColumn id="1" xr3:uid="{27264E76-0B01-4E9A-B082-6B648066FB6F}" name="Benchmark"/>
    <tableColumn id="2" xr3:uid="{1D882D24-006F-40BC-B214-F1ACC59C8FB2}" name="Slice" dataDxfId="19"/>
    <tableColumn id="3" xr3:uid="{DA5253C8-8D8E-455D-A375-A5469ACFC2FB}" name="byte[][]" dataDxfId="18"/>
    <tableColumn id="4" xr3:uid="{9C8CF682-A7DC-4C91-8088-3707F2C6963C}" name="char[][]" dataDxfId="17"/>
    <tableColumn id="5" xr3:uid="{D285E93E-6FB0-447D-87A4-3F16069CD474}" name="short[][]" dataDxfId="16"/>
    <tableColumn id="6" xr3:uid="{5E01FF8D-F99A-4CD4-ABC9-404DE657A2E8}" name="int[][]" dataDxfId="15"/>
    <tableColumn id="7" xr3:uid="{3106A10B-CF0F-4138-9DE2-0C691CAB1657}" name="long[][]" dataDxfId="14"/>
    <tableColumn id="8" xr3:uid="{5E888C6E-377A-43E7-B28A-BF6FF8F4F718}" name="float[][]" dataDxfId="13"/>
    <tableColumn id="9" xr3:uid="{761886A6-0C48-44CF-AECD-68DA9DD09F06}" name="double[][]" dataDxfId="12"/>
  </tableColumns>
  <tableStyleInfo name="TableStyleMedium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CE6BDA-56CC-474B-80DA-6F4C63C8437B}" name="Table2" displayName="Table2" ref="B31:I41" totalsRowShown="0" headerRowDxfId="1" dataDxfId="30" tableBorderDxfId="29" dataCellStyle="Percent">
  <autoFilter ref="B31:I41" xr:uid="{9FCE6BDA-56CC-474B-80DA-6F4C63C8437B}"/>
  <tableColumns count="8">
    <tableColumn id="1" xr3:uid="{F2EBF397-294C-4BE5-81A7-DB99CEF6BA1F}" name="Slice" dataDxfId="28"/>
    <tableColumn id="2" xr3:uid="{55CD4908-6FE0-4FAD-93E0-5E11A3C96729}" name="byte[][]" dataDxfId="27" dataCellStyle="Percent">
      <calculatedColumnFormula>C3/C13</calculatedColumnFormula>
    </tableColumn>
    <tableColumn id="3" xr3:uid="{F1D1693D-C6B3-4B25-BE95-0B8913214517}" name="char[][]" dataDxfId="26" dataCellStyle="Percent">
      <calculatedColumnFormula>D3/D13</calculatedColumnFormula>
    </tableColumn>
    <tableColumn id="4" xr3:uid="{E05ED142-E38C-40B1-9475-ADE38444975F}" name="short[][]" dataDxfId="25" dataCellStyle="Percent">
      <calculatedColumnFormula>E3/E13</calculatedColumnFormula>
    </tableColumn>
    <tableColumn id="5" xr3:uid="{22A48BAE-4213-4996-8035-60B64009C5D0}" name="int[][]" dataDxfId="24" dataCellStyle="Percent">
      <calculatedColumnFormula>F3/F13</calculatedColumnFormula>
    </tableColumn>
    <tableColumn id="6" xr3:uid="{CDBA6D44-0DE1-45B2-9AA4-6769ACF1A34A}" name="long[][]" dataDxfId="23" dataCellStyle="Percent">
      <calculatedColumnFormula>G3/G13</calculatedColumnFormula>
    </tableColumn>
    <tableColumn id="7" xr3:uid="{D7B360A0-8169-4E65-BA43-9FE1A8B1989F}" name="float[][]" dataDxfId="22" dataCellStyle="Percent">
      <calculatedColumnFormula>H3/H13</calculatedColumnFormula>
    </tableColumn>
    <tableColumn id="8" xr3:uid="{D505EC8D-7053-4E5C-9EC7-C9FD67F1588F}" name="double[][]" dataDxfId="21" dataCellStyle="Percent">
      <calculatedColumnFormula>I3/I13</calculatedColumnFormula>
    </tableColumn>
  </tableColumns>
  <tableStyleInfo name="TableStyleMedium1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5C2ECD-9EAE-475E-99C6-CDCF17CD8EBD}" name="Table3" displayName="Table3" ref="A25:I29" totalsRowShown="0" headerRowDxfId="0" headerRowBorderDxfId="3">
  <autoFilter ref="A25:I29" xr:uid="{415C2ECD-9EAE-475E-99C6-CDCF17CD8EBD}"/>
  <tableColumns count="9">
    <tableColumn id="1" xr3:uid="{2F7BCF12-44FC-4DCF-B732-2F5833BCA095}" name="Benchmark" dataDxfId="11"/>
    <tableColumn id="2" xr3:uid="{D6746FC8-45E0-41BC-84AD-18904A823DD1}" name="Slice"/>
    <tableColumn id="3" xr3:uid="{B0B0ABDF-806D-435B-929D-3934B927ED2B}" name="byte[][]" dataDxfId="10"/>
    <tableColumn id="4" xr3:uid="{AB343B81-448A-46A1-9F81-13B2F2253E97}" name="char[][]" dataDxfId="9"/>
    <tableColumn id="5" xr3:uid="{DA123DD9-0425-45F4-88BC-986AF0670532}" name="short[][]" dataDxfId="8"/>
    <tableColumn id="6" xr3:uid="{12D72B6B-83D3-40F1-BB99-40C3E9072A27}" name="int[][]" dataDxfId="7"/>
    <tableColumn id="7" xr3:uid="{8FEA3825-FAE2-495A-8689-36FD3BC82782}" name="long[][]" dataDxfId="6"/>
    <tableColumn id="8" xr3:uid="{B11155FB-C6D5-4EB8-A647-7E4A41931466}" name="float[][]" dataDxfId="5"/>
    <tableColumn id="9" xr3:uid="{3A3ED5A2-1FE5-4591-8A58-700AC89587E1}" name="double[][]" dataDxfId="4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6957B-4816-4898-88A8-2A9624DF466D}">
  <dimension ref="A1:K41"/>
  <sheetViews>
    <sheetView tabSelected="1" workbookViewId="0">
      <selection activeCell="A2" sqref="A2"/>
    </sheetView>
  </sheetViews>
  <sheetFormatPr defaultRowHeight="19.5" x14ac:dyDescent="0.5"/>
  <cols>
    <col min="1" max="1" width="15.8203125" customWidth="1"/>
    <col min="2" max="2" width="10.76171875" bestFit="1" customWidth="1"/>
    <col min="3" max="4" width="11.703125" bestFit="1" customWidth="1"/>
    <col min="5" max="5" width="12.703125" bestFit="1" customWidth="1"/>
    <col min="6" max="6" width="10.703125" bestFit="1" customWidth="1"/>
    <col min="7" max="7" width="11.703125" bestFit="1" customWidth="1"/>
    <col min="8" max="8" width="12.703125" bestFit="1" customWidth="1"/>
    <col min="9" max="9" width="13.703125" bestFit="1" customWidth="1"/>
    <col min="10" max="10" width="2.234375" customWidth="1"/>
    <col min="11" max="11" width="59" customWidth="1"/>
  </cols>
  <sheetData>
    <row r="1" spans="1:11" ht="20" thickBot="1" x14ac:dyDescent="0.55000000000000004">
      <c r="A1" s="33" t="s">
        <v>29</v>
      </c>
      <c r="B1" s="29"/>
      <c r="C1" s="29"/>
      <c r="D1" s="29"/>
      <c r="E1" s="29"/>
      <c r="F1" s="29"/>
      <c r="G1" s="29"/>
      <c r="H1" s="29"/>
      <c r="I1" s="30"/>
      <c r="K1" s="31" t="s">
        <v>20</v>
      </c>
    </row>
    <row r="2" spans="1:11" ht="20" thickBot="1" x14ac:dyDescent="0.55000000000000004">
      <c r="A2" s="9" t="s">
        <v>0</v>
      </c>
      <c r="B2" s="9" t="s">
        <v>19</v>
      </c>
      <c r="C2" s="9" t="s">
        <v>1</v>
      </c>
      <c r="D2" s="9" t="s">
        <v>12</v>
      </c>
      <c r="E2" s="9" t="s">
        <v>13</v>
      </c>
      <c r="F2" s="9" t="s">
        <v>14</v>
      </c>
      <c r="G2" s="9" t="s">
        <v>15</v>
      </c>
      <c r="H2" s="9" t="s">
        <v>16</v>
      </c>
      <c r="I2" s="9" t="s">
        <v>17</v>
      </c>
      <c r="K2" s="32"/>
    </row>
    <row r="3" spans="1:11" x14ac:dyDescent="0.5">
      <c r="A3" s="1" t="s">
        <v>18</v>
      </c>
      <c r="B3" s="8" t="s">
        <v>2</v>
      </c>
      <c r="C3" s="6">
        <v>31.352201999999998</v>
      </c>
      <c r="D3" s="6">
        <v>28.783441</v>
      </c>
      <c r="E3" s="6">
        <v>30.202694000000001</v>
      </c>
      <c r="F3" s="6">
        <v>17.495393</v>
      </c>
      <c r="G3" s="6">
        <v>18.198111999999998</v>
      </c>
      <c r="H3" s="6">
        <v>16.074266999999999</v>
      </c>
      <c r="I3" s="6">
        <v>16.577925</v>
      </c>
      <c r="K3" s="12" t="s">
        <v>27</v>
      </c>
    </row>
    <row r="4" spans="1:11" x14ac:dyDescent="0.5">
      <c r="A4" s="1" t="s">
        <v>18</v>
      </c>
      <c r="B4" s="8" t="s">
        <v>3</v>
      </c>
      <c r="C4" s="6">
        <v>31.892955000000001</v>
      </c>
      <c r="D4" s="6">
        <v>28.907236999999999</v>
      </c>
      <c r="E4" s="6">
        <v>30.052994999999999</v>
      </c>
      <c r="F4" s="6">
        <v>18.871880000000001</v>
      </c>
      <c r="G4" s="6">
        <v>17.417370999999999</v>
      </c>
      <c r="H4" s="6">
        <v>16.283799999999999</v>
      </c>
      <c r="I4" s="6">
        <v>16.821905000000001</v>
      </c>
      <c r="K4" s="15"/>
    </row>
    <row r="5" spans="1:11" x14ac:dyDescent="0.5">
      <c r="A5" s="1" t="s">
        <v>18</v>
      </c>
      <c r="B5" s="8" t="s">
        <v>4</v>
      </c>
      <c r="C5" s="6">
        <v>32.347096999999998</v>
      </c>
      <c r="D5" s="6">
        <v>30.536926999999999</v>
      </c>
      <c r="E5" s="6">
        <v>29.365537</v>
      </c>
      <c r="F5" s="6">
        <v>17.497879999999999</v>
      </c>
      <c r="G5" s="6">
        <v>17.133756999999999</v>
      </c>
      <c r="H5" s="6">
        <v>16.190598999999999</v>
      </c>
      <c r="I5" s="6">
        <v>16.442964</v>
      </c>
      <c r="K5" s="15"/>
    </row>
    <row r="6" spans="1:11" x14ac:dyDescent="0.5">
      <c r="A6" s="1" t="s">
        <v>18</v>
      </c>
      <c r="B6" s="8" t="s">
        <v>5</v>
      </c>
      <c r="C6" s="6">
        <v>32.132992000000002</v>
      </c>
      <c r="D6" s="6">
        <v>29.169559</v>
      </c>
      <c r="E6" s="6">
        <v>29.105062</v>
      </c>
      <c r="F6" s="6">
        <v>17.485945000000001</v>
      </c>
      <c r="G6" s="6">
        <v>17.084747</v>
      </c>
      <c r="H6" s="6">
        <v>16.409651</v>
      </c>
      <c r="I6" s="6">
        <v>17.261471</v>
      </c>
      <c r="K6" s="15"/>
    </row>
    <row r="7" spans="1:11" x14ac:dyDescent="0.5">
      <c r="A7" s="1" t="s">
        <v>18</v>
      </c>
      <c r="B7" s="8" t="s">
        <v>6</v>
      </c>
      <c r="C7" s="6">
        <v>35.255034999999999</v>
      </c>
      <c r="D7" s="6">
        <v>28.464988000000002</v>
      </c>
      <c r="E7" s="6">
        <v>28.227456</v>
      </c>
      <c r="F7" s="6">
        <v>17.520102000000001</v>
      </c>
      <c r="G7" s="6">
        <v>17.417096999999998</v>
      </c>
      <c r="H7" s="6">
        <v>16.057220000000001</v>
      </c>
      <c r="I7" s="6">
        <v>16.46611</v>
      </c>
      <c r="K7" s="15"/>
    </row>
    <row r="8" spans="1:11" x14ac:dyDescent="0.5">
      <c r="A8" s="1" t="s">
        <v>18</v>
      </c>
      <c r="B8" s="8" t="s">
        <v>7</v>
      </c>
      <c r="C8" s="6">
        <v>32.959981999999997</v>
      </c>
      <c r="D8" s="6">
        <v>28.276187</v>
      </c>
      <c r="E8" s="6">
        <v>27.754802999999999</v>
      </c>
      <c r="F8" s="6">
        <v>17.510124999999999</v>
      </c>
      <c r="G8" s="6">
        <v>17.447794999999999</v>
      </c>
      <c r="H8" s="6">
        <v>16.377478</v>
      </c>
      <c r="I8" s="6">
        <v>16.494323999999999</v>
      </c>
      <c r="K8" s="15"/>
    </row>
    <row r="9" spans="1:11" x14ac:dyDescent="0.5">
      <c r="A9" s="1" t="s">
        <v>18</v>
      </c>
      <c r="B9" s="8" t="s">
        <v>8</v>
      </c>
      <c r="C9" s="6">
        <v>32.980455999999997</v>
      </c>
      <c r="D9" s="6">
        <v>29.578451999999999</v>
      </c>
      <c r="E9" s="6">
        <v>28.580196999999998</v>
      </c>
      <c r="F9" s="6">
        <v>17.395441000000002</v>
      </c>
      <c r="G9" s="6">
        <v>17.342320000000001</v>
      </c>
      <c r="H9" s="6">
        <v>16.444597000000002</v>
      </c>
      <c r="I9" s="6">
        <v>16.311216000000002</v>
      </c>
      <c r="K9" s="15"/>
    </row>
    <row r="10" spans="1:11" x14ac:dyDescent="0.5">
      <c r="A10" s="1" t="s">
        <v>18</v>
      </c>
      <c r="B10" s="8" t="s">
        <v>9</v>
      </c>
      <c r="C10" s="6">
        <v>33.165466000000002</v>
      </c>
      <c r="D10" s="6">
        <v>30.153600999999998</v>
      </c>
      <c r="E10" s="6">
        <v>30.564032000000001</v>
      </c>
      <c r="F10" s="6">
        <v>17.403918999999998</v>
      </c>
      <c r="G10" s="6">
        <v>17.508527999999998</v>
      </c>
      <c r="H10" s="6">
        <v>16.463896999999999</v>
      </c>
      <c r="I10" s="6">
        <v>16.128563</v>
      </c>
      <c r="K10" s="15"/>
    </row>
    <row r="11" spans="1:11" x14ac:dyDescent="0.5">
      <c r="A11" s="1" t="s">
        <v>18</v>
      </c>
      <c r="B11" s="8" t="s">
        <v>10</v>
      </c>
      <c r="C11" s="6">
        <v>45.18374</v>
      </c>
      <c r="D11" s="6">
        <v>41.981327999999998</v>
      </c>
      <c r="E11" s="6">
        <v>43.157980999999999</v>
      </c>
      <c r="F11" s="6">
        <v>33.186591999999997</v>
      </c>
      <c r="G11" s="6">
        <v>33.179544999999997</v>
      </c>
      <c r="H11" s="6">
        <v>30.505127000000002</v>
      </c>
      <c r="I11" s="6">
        <v>31.696641</v>
      </c>
      <c r="K11" s="15"/>
    </row>
    <row r="12" spans="1:11" x14ac:dyDescent="0.5">
      <c r="A12" s="1" t="s">
        <v>18</v>
      </c>
      <c r="B12" s="8" t="s">
        <v>11</v>
      </c>
      <c r="C12" s="6">
        <v>46.925727999999999</v>
      </c>
      <c r="D12" s="6">
        <v>43.508274</v>
      </c>
      <c r="E12" s="6">
        <v>41.388281999999997</v>
      </c>
      <c r="F12" s="6">
        <v>30.992896000000002</v>
      </c>
      <c r="G12" s="6">
        <v>32.314267999999998</v>
      </c>
      <c r="H12" s="6">
        <v>30.599779999999999</v>
      </c>
      <c r="I12" s="6">
        <v>31.790799</v>
      </c>
      <c r="K12" s="15"/>
    </row>
    <row r="13" spans="1:11" x14ac:dyDescent="0.5">
      <c r="A13" s="1" t="s">
        <v>23</v>
      </c>
      <c r="B13" s="8" t="s">
        <v>2</v>
      </c>
      <c r="C13" s="6">
        <v>15.398258</v>
      </c>
      <c r="D13" s="6">
        <v>15.657567</v>
      </c>
      <c r="E13" s="6">
        <v>16.109328999999999</v>
      </c>
      <c r="F13" s="6">
        <v>13.366949999999999</v>
      </c>
      <c r="G13" s="6">
        <v>10.619883</v>
      </c>
      <c r="H13" s="6">
        <v>9.6280059999999992</v>
      </c>
      <c r="I13" s="6">
        <v>9.481325</v>
      </c>
      <c r="K13" s="15"/>
    </row>
    <row r="14" spans="1:11" x14ac:dyDescent="0.5">
      <c r="A14" s="1" t="s">
        <v>23</v>
      </c>
      <c r="B14" s="8" t="s">
        <v>3</v>
      </c>
      <c r="C14" s="6">
        <v>15.317724</v>
      </c>
      <c r="D14" s="6">
        <v>15.537917999999999</v>
      </c>
      <c r="E14" s="6">
        <v>16.023012999999999</v>
      </c>
      <c r="F14" s="6">
        <v>13.224081</v>
      </c>
      <c r="G14" s="6">
        <v>10.584484</v>
      </c>
      <c r="H14" s="6">
        <v>9.4928699999999999</v>
      </c>
      <c r="I14" s="6">
        <v>9.7040100000000002</v>
      </c>
      <c r="K14" s="15"/>
    </row>
    <row r="15" spans="1:11" x14ac:dyDescent="0.5">
      <c r="A15" s="1" t="s">
        <v>23</v>
      </c>
      <c r="B15" s="8" t="s">
        <v>4</v>
      </c>
      <c r="C15" s="6">
        <v>14.434513000000001</v>
      </c>
      <c r="D15" s="6">
        <v>15.194373000000001</v>
      </c>
      <c r="E15" s="6">
        <v>15.358496000000001</v>
      </c>
      <c r="F15" s="6">
        <v>12.963391</v>
      </c>
      <c r="G15" s="6">
        <v>10.639298</v>
      </c>
      <c r="H15" s="6">
        <v>9.864967</v>
      </c>
      <c r="I15" s="6">
        <v>10.231934000000001</v>
      </c>
      <c r="K15" s="15"/>
    </row>
    <row r="16" spans="1:11" x14ac:dyDescent="0.5">
      <c r="A16" s="1" t="s">
        <v>23</v>
      </c>
      <c r="B16" s="8" t="s">
        <v>5</v>
      </c>
      <c r="C16" s="6">
        <v>14.362954</v>
      </c>
      <c r="D16" s="6">
        <v>15.044168000000001</v>
      </c>
      <c r="E16" s="6">
        <v>15.646072999999999</v>
      </c>
      <c r="F16" s="6">
        <v>13.094236</v>
      </c>
      <c r="G16" s="6">
        <v>10.532019999999999</v>
      </c>
      <c r="H16" s="6">
        <v>9.6310760000000002</v>
      </c>
      <c r="I16" s="6">
        <v>9.7051820000000006</v>
      </c>
      <c r="K16" s="15"/>
    </row>
    <row r="17" spans="1:11" x14ac:dyDescent="0.5">
      <c r="A17" s="1" t="s">
        <v>23</v>
      </c>
      <c r="B17" s="8" t="s">
        <v>6</v>
      </c>
      <c r="C17" s="6">
        <v>15.572278000000001</v>
      </c>
      <c r="D17" s="6">
        <v>15.578677000000001</v>
      </c>
      <c r="E17" s="6">
        <v>16.002511999999999</v>
      </c>
      <c r="F17" s="6">
        <v>13.200938000000001</v>
      </c>
      <c r="G17" s="6">
        <v>10.59296</v>
      </c>
      <c r="H17" s="6">
        <v>9.7032249999999998</v>
      </c>
      <c r="I17" s="6">
        <v>9.6514450000000007</v>
      </c>
      <c r="K17" s="15"/>
    </row>
    <row r="18" spans="1:11" x14ac:dyDescent="0.5">
      <c r="A18" s="1" t="s">
        <v>23</v>
      </c>
      <c r="B18" s="8" t="s">
        <v>7</v>
      </c>
      <c r="C18" s="6">
        <v>15.59723</v>
      </c>
      <c r="D18" s="6">
        <v>15.319794</v>
      </c>
      <c r="E18" s="6">
        <v>15.969196</v>
      </c>
      <c r="F18" s="6">
        <v>13.230594999999999</v>
      </c>
      <c r="G18" s="6">
        <v>10.587749000000001</v>
      </c>
      <c r="H18" s="6">
        <v>9.6388909999999992</v>
      </c>
      <c r="I18" s="6">
        <v>9.6283740000000009</v>
      </c>
      <c r="K18" s="15"/>
    </row>
    <row r="19" spans="1:11" x14ac:dyDescent="0.5">
      <c r="A19" s="1" t="s">
        <v>23</v>
      </c>
      <c r="B19" s="8" t="s">
        <v>8</v>
      </c>
      <c r="C19" s="6">
        <v>15.24949</v>
      </c>
      <c r="D19" s="6">
        <v>14.965502000000001</v>
      </c>
      <c r="E19" s="6">
        <v>15.768869</v>
      </c>
      <c r="F19" s="6">
        <v>13.394415</v>
      </c>
      <c r="G19" s="6">
        <v>10.632307000000001</v>
      </c>
      <c r="H19" s="6">
        <v>9.6533929999999994</v>
      </c>
      <c r="I19" s="6">
        <v>9.6973310000000001</v>
      </c>
      <c r="K19" s="15"/>
    </row>
    <row r="20" spans="1:11" x14ac:dyDescent="0.5">
      <c r="A20" s="1" t="s">
        <v>23</v>
      </c>
      <c r="B20" s="8" t="s">
        <v>9</v>
      </c>
      <c r="C20" s="6">
        <v>15.386794</v>
      </c>
      <c r="D20" s="6">
        <v>15.019450000000001</v>
      </c>
      <c r="E20" s="6">
        <v>15.824482</v>
      </c>
      <c r="F20" s="6">
        <v>13.26343</v>
      </c>
      <c r="G20" s="6">
        <v>10.634771000000001</v>
      </c>
      <c r="H20" s="6">
        <v>9.6809799999999999</v>
      </c>
      <c r="I20" s="6">
        <v>9.6664639999999995</v>
      </c>
      <c r="K20" s="15"/>
    </row>
    <row r="21" spans="1:11" x14ac:dyDescent="0.5">
      <c r="A21" s="1" t="s">
        <v>23</v>
      </c>
      <c r="B21" s="8" t="s">
        <v>10</v>
      </c>
      <c r="C21" s="6">
        <v>15.895004999999999</v>
      </c>
      <c r="D21" s="6">
        <v>14.016442</v>
      </c>
      <c r="E21" s="6">
        <v>15.425034999999999</v>
      </c>
      <c r="F21" s="6">
        <v>9.9503620000000002</v>
      </c>
      <c r="G21" s="6">
        <v>11.294211000000001</v>
      </c>
      <c r="H21" s="6">
        <v>9.2531820000000007</v>
      </c>
      <c r="I21" s="6">
        <v>9.8743850000000002</v>
      </c>
      <c r="K21" s="15"/>
    </row>
    <row r="22" spans="1:11" ht="20" thickBot="1" x14ac:dyDescent="0.55000000000000004">
      <c r="A22" s="1" t="s">
        <v>23</v>
      </c>
      <c r="B22" s="8" t="s">
        <v>11</v>
      </c>
      <c r="C22" s="6">
        <v>18.038952999999999</v>
      </c>
      <c r="D22" s="6">
        <v>14.267576</v>
      </c>
      <c r="E22" s="6">
        <v>14.906216000000001</v>
      </c>
      <c r="F22" s="6">
        <v>11.132958</v>
      </c>
      <c r="G22" s="6">
        <v>12.135762</v>
      </c>
      <c r="H22" s="6">
        <v>11.543328000000001</v>
      </c>
      <c r="I22" s="6">
        <v>11.408253999999999</v>
      </c>
      <c r="K22" s="16"/>
    </row>
    <row r="23" spans="1:11" ht="20" thickBot="1" x14ac:dyDescent="0.55000000000000004"/>
    <row r="24" spans="1:11" ht="20" thickBot="1" x14ac:dyDescent="0.55000000000000004">
      <c r="A24" s="33" t="s">
        <v>25</v>
      </c>
      <c r="B24" s="29"/>
      <c r="C24" s="29"/>
      <c r="D24" s="29"/>
      <c r="E24" s="29"/>
      <c r="F24" s="29"/>
      <c r="G24" s="29"/>
      <c r="H24" s="29"/>
      <c r="I24" s="30"/>
      <c r="K24" s="31" t="s">
        <v>20</v>
      </c>
    </row>
    <row r="25" spans="1:11" ht="20" thickBot="1" x14ac:dyDescent="0.55000000000000004">
      <c r="A25" s="27" t="s">
        <v>0</v>
      </c>
      <c r="B25" s="28" t="s">
        <v>19</v>
      </c>
      <c r="C25" s="22" t="s">
        <v>1</v>
      </c>
      <c r="D25" s="22" t="s">
        <v>12</v>
      </c>
      <c r="E25" s="22" t="s">
        <v>13</v>
      </c>
      <c r="F25" s="22" t="s">
        <v>14</v>
      </c>
      <c r="G25" s="22" t="s">
        <v>15</v>
      </c>
      <c r="H25" s="22" t="s">
        <v>16</v>
      </c>
      <c r="I25" s="23" t="s">
        <v>17</v>
      </c>
      <c r="K25" s="32"/>
    </row>
    <row r="26" spans="1:11" x14ac:dyDescent="0.5">
      <c r="A26" s="2" t="s">
        <v>18</v>
      </c>
      <c r="B26" s="3" t="s">
        <v>21</v>
      </c>
      <c r="C26" s="17">
        <f>AVERAGE(C3:C10)</f>
        <v>32.760773125</v>
      </c>
      <c r="D26" s="17">
        <f>AVERAGE(D3:D10)</f>
        <v>29.233799000000001</v>
      </c>
      <c r="E26" s="17">
        <f>AVERAGE(E3:E10)</f>
        <v>29.231597000000001</v>
      </c>
      <c r="F26" s="17">
        <f>AVERAGE(F3:F10)</f>
        <v>17.647585624999998</v>
      </c>
      <c r="G26" s="17">
        <f>AVERAGE(G3:G10)</f>
        <v>17.443715875000002</v>
      </c>
      <c r="H26" s="17">
        <f>AVERAGE(H3:H10)</f>
        <v>16.287688624999998</v>
      </c>
      <c r="I26" s="18">
        <f>AVERAGE(I3:I10)</f>
        <v>16.563059750000001</v>
      </c>
      <c r="K26" s="34" t="s">
        <v>28</v>
      </c>
    </row>
    <row r="27" spans="1:11" x14ac:dyDescent="0.5">
      <c r="A27" s="4" t="s">
        <v>18</v>
      </c>
      <c r="B27" s="1" t="s">
        <v>22</v>
      </c>
      <c r="C27" s="6">
        <f>AVERAGE(C11:C12)</f>
        <v>46.054733999999996</v>
      </c>
      <c r="D27" s="6">
        <f t="shared" ref="D27:I27" si="0">AVERAGE(D11:D12)</f>
        <v>42.744800999999995</v>
      </c>
      <c r="E27" s="6">
        <f t="shared" si="0"/>
        <v>42.273131499999998</v>
      </c>
      <c r="F27" s="6">
        <f t="shared" si="0"/>
        <v>32.089743999999996</v>
      </c>
      <c r="G27" s="6">
        <f t="shared" si="0"/>
        <v>32.746906499999994</v>
      </c>
      <c r="H27" s="6">
        <f t="shared" si="0"/>
        <v>30.552453499999999</v>
      </c>
      <c r="I27" s="19">
        <f t="shared" si="0"/>
        <v>31.74372</v>
      </c>
      <c r="K27" s="15"/>
    </row>
    <row r="28" spans="1:11" x14ac:dyDescent="0.5">
      <c r="A28" s="4" t="s">
        <v>23</v>
      </c>
      <c r="B28" s="1" t="s">
        <v>21</v>
      </c>
      <c r="C28" s="6">
        <f>AVERAGE(C13:C20)</f>
        <v>15.164905124999999</v>
      </c>
      <c r="D28" s="6">
        <f t="shared" ref="D28:I28" si="1">AVERAGE(D13:D20)</f>
        <v>15.289681125000001</v>
      </c>
      <c r="E28" s="6">
        <f t="shared" si="1"/>
        <v>15.837746249999999</v>
      </c>
      <c r="F28" s="6">
        <f t="shared" si="1"/>
        <v>13.217254499999999</v>
      </c>
      <c r="G28" s="6">
        <f t="shared" si="1"/>
        <v>10.602933999999999</v>
      </c>
      <c r="H28" s="6">
        <f t="shared" si="1"/>
        <v>9.6616759999999999</v>
      </c>
      <c r="I28" s="19">
        <f t="shared" si="1"/>
        <v>9.7207581250000015</v>
      </c>
      <c r="K28" s="15"/>
    </row>
    <row r="29" spans="1:11" ht="20" thickBot="1" x14ac:dyDescent="0.55000000000000004">
      <c r="A29" s="4" t="s">
        <v>23</v>
      </c>
      <c r="B29" s="5" t="s">
        <v>22</v>
      </c>
      <c r="C29" s="20">
        <f>AVERAGE(C21:C22)</f>
        <v>16.966978999999998</v>
      </c>
      <c r="D29" s="20">
        <f t="shared" ref="D29:I29" si="2">AVERAGE(D21:D22)</f>
        <v>14.142009</v>
      </c>
      <c r="E29" s="20">
        <f t="shared" si="2"/>
        <v>15.165625500000001</v>
      </c>
      <c r="F29" s="20">
        <f t="shared" si="2"/>
        <v>10.54166</v>
      </c>
      <c r="G29" s="20">
        <f t="shared" si="2"/>
        <v>11.7149865</v>
      </c>
      <c r="H29" s="20">
        <f t="shared" si="2"/>
        <v>10.398255000000001</v>
      </c>
      <c r="I29" s="21">
        <f t="shared" si="2"/>
        <v>10.6413195</v>
      </c>
      <c r="K29" s="16"/>
    </row>
    <row r="30" spans="1:11" ht="20" thickBot="1" x14ac:dyDescent="0.55000000000000004"/>
    <row r="31" spans="1:11" ht="20" thickBot="1" x14ac:dyDescent="0.55000000000000004">
      <c r="A31" s="24" t="s">
        <v>24</v>
      </c>
      <c r="B31" s="10" t="s">
        <v>19</v>
      </c>
      <c r="C31" s="10" t="s">
        <v>1</v>
      </c>
      <c r="D31" s="10" t="s">
        <v>12</v>
      </c>
      <c r="E31" s="10" t="s">
        <v>13</v>
      </c>
      <c r="F31" s="10" t="s">
        <v>14</v>
      </c>
      <c r="G31" s="10" t="s">
        <v>15</v>
      </c>
      <c r="H31" s="10" t="s">
        <v>16</v>
      </c>
      <c r="I31" s="10" t="s">
        <v>17</v>
      </c>
      <c r="K31" s="11" t="s">
        <v>20</v>
      </c>
    </row>
    <row r="32" spans="1:11" x14ac:dyDescent="0.5">
      <c r="A32" s="25"/>
      <c r="B32" s="8" t="s">
        <v>2</v>
      </c>
      <c r="C32" s="7">
        <f>C3/C13</f>
        <v>2.0360875886090488</v>
      </c>
      <c r="D32" s="7">
        <f>D3/D13</f>
        <v>1.8383086593210809</v>
      </c>
      <c r="E32" s="7">
        <f>E3/E13</f>
        <v>1.8748573574976339</v>
      </c>
      <c r="F32" s="7">
        <f>F3/F13</f>
        <v>1.3088545255275139</v>
      </c>
      <c r="G32" s="7">
        <f>G3/G13</f>
        <v>1.7135887466933486</v>
      </c>
      <c r="H32" s="7">
        <f>H3/H13</f>
        <v>1.6695322998344622</v>
      </c>
      <c r="I32" s="7">
        <f>I3/I13</f>
        <v>1.7484818841248455</v>
      </c>
      <c r="K32" s="12" t="s">
        <v>26</v>
      </c>
    </row>
    <row r="33" spans="1:11" x14ac:dyDescent="0.5">
      <c r="A33" s="25"/>
      <c r="B33" s="8" t="s">
        <v>3</v>
      </c>
      <c r="C33" s="7">
        <f>C4/C14</f>
        <v>2.082094898693827</v>
      </c>
      <c r="D33" s="7">
        <f>D4/D14</f>
        <v>1.8604318158970847</v>
      </c>
      <c r="E33" s="7">
        <f>E4/E14</f>
        <v>1.8756144677658317</v>
      </c>
      <c r="F33" s="7">
        <f>F4/F14</f>
        <v>1.4270844227285058</v>
      </c>
      <c r="G33" s="7">
        <f>G4/G14</f>
        <v>1.6455569303142221</v>
      </c>
      <c r="H33" s="7">
        <f>H4/H14</f>
        <v>1.7153716420850595</v>
      </c>
      <c r="I33" s="7">
        <f>I4/I14</f>
        <v>1.7335003776789184</v>
      </c>
      <c r="K33" s="13"/>
    </row>
    <row r="34" spans="1:11" x14ac:dyDescent="0.5">
      <c r="A34" s="25"/>
      <c r="B34" s="8" t="s">
        <v>4</v>
      </c>
      <c r="C34" s="7">
        <f>C5/C15</f>
        <v>2.2409552022988235</v>
      </c>
      <c r="D34" s="7">
        <f t="shared" ref="D34:I34" si="3">D5/D15</f>
        <v>2.0097523602981182</v>
      </c>
      <c r="E34" s="7">
        <f t="shared" si="3"/>
        <v>1.912006032361502</v>
      </c>
      <c r="F34" s="7">
        <f t="shared" si="3"/>
        <v>1.3497918870147478</v>
      </c>
      <c r="G34" s="7">
        <f t="shared" si="3"/>
        <v>1.6104217590295899</v>
      </c>
      <c r="H34" s="7">
        <f t="shared" si="3"/>
        <v>1.6412218104733649</v>
      </c>
      <c r="I34" s="7">
        <f t="shared" si="3"/>
        <v>1.6070240484350269</v>
      </c>
      <c r="K34" s="13"/>
    </row>
    <row r="35" spans="1:11" x14ac:dyDescent="0.5">
      <c r="A35" s="25"/>
      <c r="B35" s="8" t="s">
        <v>5</v>
      </c>
      <c r="C35" s="7">
        <f>C6/C16</f>
        <v>2.2372133197669504</v>
      </c>
      <c r="D35" s="7">
        <f t="shared" ref="D35:I35" si="4">D6/D16</f>
        <v>1.9389280284559438</v>
      </c>
      <c r="E35" s="7">
        <f t="shared" si="4"/>
        <v>1.8602151479160298</v>
      </c>
      <c r="F35" s="7">
        <f t="shared" si="4"/>
        <v>1.3353925345472619</v>
      </c>
      <c r="G35" s="7">
        <f t="shared" si="4"/>
        <v>1.6221719100419485</v>
      </c>
      <c r="H35" s="7">
        <f t="shared" si="4"/>
        <v>1.7038232280588379</v>
      </c>
      <c r="I35" s="7">
        <f t="shared" si="4"/>
        <v>1.7785829261110198</v>
      </c>
      <c r="K35" s="13"/>
    </row>
    <row r="36" spans="1:11" x14ac:dyDescent="0.5">
      <c r="A36" s="25"/>
      <c r="B36" s="8" t="s">
        <v>6</v>
      </c>
      <c r="C36" s="7">
        <f>C7/C17</f>
        <v>2.263961316385438</v>
      </c>
      <c r="D36" s="7">
        <f>D7/D17</f>
        <v>1.8271762101492957</v>
      </c>
      <c r="E36" s="7">
        <f>E7/E17</f>
        <v>1.763939061567334</v>
      </c>
      <c r="F36" s="7">
        <f>F7/F17</f>
        <v>1.3271861438937143</v>
      </c>
      <c r="G36" s="7">
        <f>G7/G17</f>
        <v>1.6442143650122345</v>
      </c>
      <c r="H36" s="7">
        <f>H7/H17</f>
        <v>1.654833315727503</v>
      </c>
      <c r="I36" s="7">
        <f>I7/I17</f>
        <v>1.7060771729000164</v>
      </c>
      <c r="K36" s="13"/>
    </row>
    <row r="37" spans="1:11" x14ac:dyDescent="0.5">
      <c r="A37" s="25"/>
      <c r="B37" s="8" t="s">
        <v>7</v>
      </c>
      <c r="C37" s="7">
        <f>C8/C18</f>
        <v>2.1131945864746493</v>
      </c>
      <c r="D37" s="7">
        <f>D8/D18</f>
        <v>1.845728930819827</v>
      </c>
      <c r="E37" s="7">
        <f>E8/E18</f>
        <v>1.7380213130329165</v>
      </c>
      <c r="F37" s="7">
        <f>F8/F18</f>
        <v>1.3234571083159903</v>
      </c>
      <c r="G37" s="7">
        <f>G8/G18</f>
        <v>1.6479229909964808</v>
      </c>
      <c r="H37" s="7">
        <f>H8/H18</f>
        <v>1.6991039736832796</v>
      </c>
      <c r="I37" s="7">
        <f>I8/I18</f>
        <v>1.7130954821655242</v>
      </c>
      <c r="K37" s="13"/>
    </row>
    <row r="38" spans="1:11" x14ac:dyDescent="0.5">
      <c r="A38" s="25"/>
      <c r="B38" s="8" t="s">
        <v>8</v>
      </c>
      <c r="C38" s="7">
        <f>C9/C19</f>
        <v>2.1627251796617459</v>
      </c>
      <c r="D38" s="7">
        <f>D9/D19</f>
        <v>1.9764423538882958</v>
      </c>
      <c r="E38" s="7">
        <f>E9/E19</f>
        <v>1.8124443167103486</v>
      </c>
      <c r="F38" s="7">
        <f>F9/F19</f>
        <v>1.2987085288905862</v>
      </c>
      <c r="G38" s="7">
        <f>G9/G19</f>
        <v>1.6310966190122238</v>
      </c>
      <c r="H38" s="7">
        <f>H9/H19</f>
        <v>1.7035043533398053</v>
      </c>
      <c r="I38" s="7">
        <f>I9/I19</f>
        <v>1.6820314785583788</v>
      </c>
      <c r="K38" s="13"/>
    </row>
    <row r="39" spans="1:11" x14ac:dyDescent="0.5">
      <c r="A39" s="25"/>
      <c r="B39" s="8" t="s">
        <v>9</v>
      </c>
      <c r="C39" s="7">
        <f>C10/C20</f>
        <v>2.1554500567174681</v>
      </c>
      <c r="D39" s="7">
        <f>D10/D20</f>
        <v>2.007636830909254</v>
      </c>
      <c r="E39" s="7">
        <f>E10/E20</f>
        <v>1.9314396515475198</v>
      </c>
      <c r="F39" s="7">
        <f>F10/F20</f>
        <v>1.3121733216822495</v>
      </c>
      <c r="G39" s="7">
        <f>G10/G20</f>
        <v>1.6463474389810553</v>
      </c>
      <c r="H39" s="7">
        <f>H10/H20</f>
        <v>1.7006436331858965</v>
      </c>
      <c r="I39" s="7">
        <f>I10/I20</f>
        <v>1.6685070155953614</v>
      </c>
      <c r="K39" s="13"/>
    </row>
    <row r="40" spans="1:11" x14ac:dyDescent="0.5">
      <c r="A40" s="25"/>
      <c r="B40" s="8" t="s">
        <v>10</v>
      </c>
      <c r="C40" s="7">
        <f>C11/C21</f>
        <v>2.8426376713942525</v>
      </c>
      <c r="D40" s="7">
        <f>D11/D21</f>
        <v>2.9951486975082551</v>
      </c>
      <c r="E40" s="7">
        <f>E11/E21</f>
        <v>2.797917865340338</v>
      </c>
      <c r="F40" s="7">
        <f>F11/F21</f>
        <v>3.3352145379233438</v>
      </c>
      <c r="G40" s="7">
        <f>G11/G21</f>
        <v>2.9377479312189223</v>
      </c>
      <c r="H40" s="7">
        <f>H11/H21</f>
        <v>3.2967174967486859</v>
      </c>
      <c r="I40" s="7">
        <f>I11/I21</f>
        <v>3.2099863434532883</v>
      </c>
      <c r="K40" s="13"/>
    </row>
    <row r="41" spans="1:11" ht="20" thickBot="1" x14ac:dyDescent="0.55000000000000004">
      <c r="A41" s="26"/>
      <c r="B41" s="8" t="s">
        <v>11</v>
      </c>
      <c r="C41" s="7">
        <f>C12/C22</f>
        <v>2.601355411259179</v>
      </c>
      <c r="D41" s="7">
        <f>D12/D22</f>
        <v>3.0494510069545102</v>
      </c>
      <c r="E41" s="7">
        <f>E12/E22</f>
        <v>2.7765787105191548</v>
      </c>
      <c r="F41" s="7">
        <f>F12/F22</f>
        <v>2.783886905887905</v>
      </c>
      <c r="G41" s="7">
        <f>G12/G22</f>
        <v>2.6627308610699516</v>
      </c>
      <c r="H41" s="7">
        <f>H12/H22</f>
        <v>2.6508629053943538</v>
      </c>
      <c r="I41" s="7">
        <f>I12/I22</f>
        <v>2.7866489473323437</v>
      </c>
      <c r="K41" s="14"/>
    </row>
  </sheetData>
  <mergeCells count="8">
    <mergeCell ref="K1:K2"/>
    <mergeCell ref="A1:I1"/>
    <mergeCell ref="A24:I24"/>
    <mergeCell ref="K24:K25"/>
    <mergeCell ref="K3:K22"/>
    <mergeCell ref="K32:K41"/>
    <mergeCell ref="A31:A41"/>
    <mergeCell ref="K26:K29"/>
  </mergeCells>
  <conditionalFormatting sqref="C32:I41">
    <cfRule type="colorScale" priority="1">
      <colorScale>
        <cfvo type="min"/>
        <cfvo type="max"/>
        <color theme="8" tint="0.79998168889431442"/>
        <color theme="8" tint="-0.249977111117893"/>
      </colorScale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Rotation Benchmark Measurements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E. D. Bezeredi</dc:creator>
  <cp:lastModifiedBy>E. D. Bezeredi</cp:lastModifiedBy>
  <dcterms:created xsi:type="dcterms:W3CDTF">2025-04-26T13:03:19Z</dcterms:created>
  <dcterms:modified xsi:type="dcterms:W3CDTF">2025-04-26T14:46:01Z</dcterms:modified>
</cp:coreProperties>
</file>